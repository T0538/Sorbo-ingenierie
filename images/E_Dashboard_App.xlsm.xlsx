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E:\web app\Sorbo-ingenierie\images\"/>
    </mc:Choice>
  </mc:AlternateContent>
  <xr:revisionPtr revIDLastSave="0" documentId="8_{4553DDC6-CE0D-4E5C-A73E-4B4E760095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cidents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2" l="1"/>
  <c r="B12" i="2"/>
  <c r="B11" i="2"/>
  <c r="B9" i="2"/>
  <c r="B8" i="2"/>
  <c r="B7" i="2"/>
  <c r="B5" i="2"/>
  <c r="B4" i="2"/>
  <c r="B3" i="2"/>
  <c r="B2" i="2"/>
</calcChain>
</file>

<file path=xl/sharedStrings.xml><?xml version="1.0" encoding="utf-8"?>
<sst xmlns="http://schemas.openxmlformats.org/spreadsheetml/2006/main" count="96" uniqueCount="74">
  <si>
    <t>ID</t>
  </si>
  <si>
    <t>Date</t>
  </si>
  <si>
    <t>Site</t>
  </si>
  <si>
    <t>Type</t>
  </si>
  <si>
    <t>Description</t>
  </si>
  <si>
    <t>Gravité</t>
  </si>
  <si>
    <t>Fréquence</t>
  </si>
  <si>
    <t>Rapporteur</t>
  </si>
  <si>
    <t>Statut</t>
  </si>
  <si>
    <t>Action corrective</t>
  </si>
  <si>
    <t>Responsable</t>
  </si>
  <si>
    <t>Echéance</t>
  </si>
  <si>
    <t>Coût</t>
  </si>
  <si>
    <t>2025-07-01</t>
  </si>
  <si>
    <t>Usine A</t>
  </si>
  <si>
    <t>Sécurité</t>
  </si>
  <si>
    <t>Chute d'un ouvrier</t>
  </si>
  <si>
    <t>A. Kouassi</t>
  </si>
  <si>
    <t>Clos</t>
  </si>
  <si>
    <t>Renforcement garde-corps</t>
  </si>
  <si>
    <t>Maintenance</t>
  </si>
  <si>
    <t>2025-07-10</t>
  </si>
  <si>
    <t>2025-07-03</t>
  </si>
  <si>
    <t>Qualité</t>
  </si>
  <si>
    <t>Produit non conforme lot #23</t>
  </si>
  <si>
    <t>K. Yameogo</t>
  </si>
  <si>
    <t>Ouvert</t>
  </si>
  <si>
    <t>Ré-analyse lot</t>
  </si>
  <si>
    <t>Contrôle qualité</t>
  </si>
  <si>
    <t>2025-07-12</t>
  </si>
  <si>
    <t>Usine B</t>
  </si>
  <si>
    <t>Environnement</t>
  </si>
  <si>
    <t>Fuite huile</t>
  </si>
  <si>
    <t>M. Traoré</t>
  </si>
  <si>
    <t>En cours</t>
  </si>
  <si>
    <t>Nettoyage + récupération</t>
  </si>
  <si>
    <t>2025-07-15</t>
  </si>
  <si>
    <t>2025-07-14</t>
  </si>
  <si>
    <t>Équipement sans étiquette</t>
  </si>
  <si>
    <t>Étiquetage</t>
  </si>
  <si>
    <t>Opérations</t>
  </si>
  <si>
    <t>2025-07-18</t>
  </si>
  <si>
    <t>2025-07-20</t>
  </si>
  <si>
    <t>Non port EPI</t>
  </si>
  <si>
    <t>Formation EPI</t>
  </si>
  <si>
    <t>RH</t>
  </si>
  <si>
    <t>2025-07-30</t>
  </si>
  <si>
    <t>2025-07-22</t>
  </si>
  <si>
    <t>Usine C</t>
  </si>
  <si>
    <t>Stockage déchets impropre</t>
  </si>
  <si>
    <t>M. Diallo</t>
  </si>
  <si>
    <t>Réaménagement zone stockage</t>
  </si>
  <si>
    <t>2025-08-05</t>
  </si>
  <si>
    <t>2025-07-25</t>
  </si>
  <si>
    <t>Emballage abîmé</t>
  </si>
  <si>
    <t>Modifier emballage</t>
  </si>
  <si>
    <t>Production</t>
  </si>
  <si>
    <t>2025-08-01</t>
  </si>
  <si>
    <t>2025-07-28</t>
  </si>
  <si>
    <t>Surcharge zone stockage</t>
  </si>
  <si>
    <t>Réorganisation stockage</t>
  </si>
  <si>
    <t>Logistique</t>
  </si>
  <si>
    <t>2025-08-10</t>
  </si>
  <si>
    <t>Tableau de bord QHSE - Synthèse</t>
  </si>
  <si>
    <t>Total incidents :</t>
  </si>
  <si>
    <t>Incidents ouverts :</t>
  </si>
  <si>
    <t>Incidents en cours :</t>
  </si>
  <si>
    <t>Incidents clos :</t>
  </si>
  <si>
    <t>Incidents par type (Sécurité) :</t>
  </si>
  <si>
    <t>Incidents par type (Environnement) :</t>
  </si>
  <si>
    <t>Incidents par type (Qualité) :</t>
  </si>
  <si>
    <t>Moyenne gravité :</t>
  </si>
  <si>
    <t>Moyenne fréquence :</t>
  </si>
  <si>
    <t>Coût total estimé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</si>
</sst>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M9"/>
  <sheetViews>
    <sheetView tabSelected="1" workbookViewId="0"/>
  </sheetViews>
  <sheetFormatPr baseColWidth="10" defaultColWidth="9.140625" defaultRowHeight="15" x14ac:dyDescent="0.25"/>
  <cols>
    <col min="1" max="4" width="12" customWidth="1"/>
    <col min="5" max="5" width="13" customWidth="1"/>
    <col min="6" max="9" width="12" customWidth="1"/>
    <col min="10" max="10" width="19" customWidth="1"/>
    <col min="11" max="11" width="13" customWidth="1"/>
    <col min="12" max="13" width="12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>
        <v>4</v>
      </c>
      <c r="G2">
        <v>1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>
        <v>150</v>
      </c>
    </row>
    <row r="3" spans="1:13" x14ac:dyDescent="0.25">
      <c r="A3">
        <v>2</v>
      </c>
      <c r="B3" t="s">
        <v>22</v>
      </c>
      <c r="C3" t="s">
        <v>14</v>
      </c>
      <c r="D3" t="s">
        <v>23</v>
      </c>
      <c r="E3" t="s">
        <v>24</v>
      </c>
      <c r="F3">
        <v>3</v>
      </c>
      <c r="G3">
        <v>2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>
        <v>0</v>
      </c>
    </row>
    <row r="4" spans="1:13" x14ac:dyDescent="0.25">
      <c r="A4">
        <v>3</v>
      </c>
      <c r="B4" t="s">
        <v>21</v>
      </c>
      <c r="C4" t="s">
        <v>30</v>
      </c>
      <c r="D4" t="s">
        <v>31</v>
      </c>
      <c r="E4" t="s">
        <v>32</v>
      </c>
      <c r="F4">
        <v>5</v>
      </c>
      <c r="G4">
        <v>1</v>
      </c>
      <c r="H4" t="s">
        <v>33</v>
      </c>
      <c r="I4" t="s">
        <v>34</v>
      </c>
      <c r="J4" t="s">
        <v>35</v>
      </c>
      <c r="K4" t="s">
        <v>20</v>
      </c>
      <c r="L4" t="s">
        <v>36</v>
      </c>
      <c r="M4">
        <v>300</v>
      </c>
    </row>
    <row r="5" spans="1:13" x14ac:dyDescent="0.25">
      <c r="A5">
        <v>4</v>
      </c>
      <c r="B5" t="s">
        <v>37</v>
      </c>
      <c r="C5" t="s">
        <v>14</v>
      </c>
      <c r="D5" t="s">
        <v>15</v>
      </c>
      <c r="E5" t="s">
        <v>38</v>
      </c>
      <c r="F5">
        <v>2</v>
      </c>
      <c r="G5">
        <v>3</v>
      </c>
      <c r="H5" t="s">
        <v>25</v>
      </c>
      <c r="I5" t="s">
        <v>18</v>
      </c>
      <c r="J5" t="s">
        <v>39</v>
      </c>
      <c r="K5" t="s">
        <v>40</v>
      </c>
      <c r="L5" t="s">
        <v>41</v>
      </c>
      <c r="M5">
        <v>20</v>
      </c>
    </row>
    <row r="6" spans="1:13" x14ac:dyDescent="0.25">
      <c r="A6">
        <v>5</v>
      </c>
      <c r="B6" t="s">
        <v>42</v>
      </c>
      <c r="C6" t="s">
        <v>30</v>
      </c>
      <c r="D6" t="s">
        <v>15</v>
      </c>
      <c r="E6" t="s">
        <v>43</v>
      </c>
      <c r="F6">
        <v>3</v>
      </c>
      <c r="G6">
        <v>4</v>
      </c>
      <c r="H6" t="s">
        <v>17</v>
      </c>
      <c r="I6" t="s">
        <v>26</v>
      </c>
      <c r="J6" t="s">
        <v>44</v>
      </c>
      <c r="K6" t="s">
        <v>45</v>
      </c>
      <c r="L6" t="s">
        <v>46</v>
      </c>
      <c r="M6">
        <v>0</v>
      </c>
    </row>
    <row r="7" spans="1:13" x14ac:dyDescent="0.25">
      <c r="A7">
        <v>6</v>
      </c>
      <c r="B7" t="s">
        <v>47</v>
      </c>
      <c r="C7" t="s">
        <v>48</v>
      </c>
      <c r="D7" t="s">
        <v>31</v>
      </c>
      <c r="E7" t="s">
        <v>49</v>
      </c>
      <c r="F7">
        <v>4</v>
      </c>
      <c r="G7">
        <v>2</v>
      </c>
      <c r="H7" t="s">
        <v>50</v>
      </c>
      <c r="I7" t="s">
        <v>34</v>
      </c>
      <c r="J7" t="s">
        <v>51</v>
      </c>
      <c r="K7" t="s">
        <v>31</v>
      </c>
      <c r="L7" t="s">
        <v>52</v>
      </c>
      <c r="M7">
        <v>500</v>
      </c>
    </row>
    <row r="8" spans="1:13" x14ac:dyDescent="0.25">
      <c r="A8">
        <v>7</v>
      </c>
      <c r="B8" t="s">
        <v>53</v>
      </c>
      <c r="C8" t="s">
        <v>48</v>
      </c>
      <c r="D8" t="s">
        <v>23</v>
      </c>
      <c r="E8" t="s">
        <v>54</v>
      </c>
      <c r="F8">
        <v>2</v>
      </c>
      <c r="G8">
        <v>1</v>
      </c>
      <c r="H8" t="s">
        <v>25</v>
      </c>
      <c r="I8" t="s">
        <v>18</v>
      </c>
      <c r="J8" t="s">
        <v>55</v>
      </c>
      <c r="K8" t="s">
        <v>56</v>
      </c>
      <c r="L8" t="s">
        <v>57</v>
      </c>
      <c r="M8">
        <v>0</v>
      </c>
    </row>
    <row r="9" spans="1:13" x14ac:dyDescent="0.25">
      <c r="A9">
        <v>8</v>
      </c>
      <c r="B9" t="s">
        <v>58</v>
      </c>
      <c r="C9" t="s">
        <v>14</v>
      </c>
      <c r="D9" t="s">
        <v>15</v>
      </c>
      <c r="E9" t="s">
        <v>59</v>
      </c>
      <c r="F9">
        <v>3</v>
      </c>
      <c r="G9">
        <v>2</v>
      </c>
      <c r="H9" t="s">
        <v>33</v>
      </c>
      <c r="I9" t="s">
        <v>26</v>
      </c>
      <c r="J9" t="s">
        <v>60</v>
      </c>
      <c r="K9" t="s">
        <v>61</v>
      </c>
      <c r="L9" t="s">
        <v>62</v>
      </c>
      <c r="M9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B14"/>
  <sheetViews>
    <sheetView workbookViewId="0"/>
  </sheetViews>
  <sheetFormatPr baseColWidth="10" defaultColWidth="9.140625" defaultRowHeight="15" x14ac:dyDescent="0.25"/>
  <cols>
    <col min="1" max="2" width="30" customWidth="1"/>
  </cols>
  <sheetData>
    <row r="1" spans="1:2" x14ac:dyDescent="0.25">
      <c r="A1" t="s">
        <v>63</v>
      </c>
    </row>
    <row r="2" spans="1:2" ht="18" customHeight="1" x14ac:dyDescent="0.25">
      <c r="A2" t="s">
        <v>64</v>
      </c>
      <c r="B2">
        <f>COUNTA(Incidents!A:A)-1</f>
        <v>8</v>
      </c>
    </row>
    <row r="3" spans="1:2" ht="18" customHeight="1" x14ac:dyDescent="0.25">
      <c r="A3" t="s">
        <v>65</v>
      </c>
      <c r="B3">
        <f>COUNTIF(Incidents!I:I,"Ouvert")</f>
        <v>3</v>
      </c>
    </row>
    <row r="4" spans="1:2" ht="18" customHeight="1" x14ac:dyDescent="0.25">
      <c r="A4" t="s">
        <v>66</v>
      </c>
      <c r="B4">
        <f>COUNTIF(Incidents!I:I,"En cours")</f>
        <v>2</v>
      </c>
    </row>
    <row r="5" spans="1:2" ht="18" customHeight="1" x14ac:dyDescent="0.25">
      <c r="A5" t="s">
        <v>67</v>
      </c>
      <c r="B5">
        <f>COUNTIF(Incidents!I:I,"Clos")</f>
        <v>3</v>
      </c>
    </row>
    <row r="6" spans="1:2" ht="18" customHeight="1" x14ac:dyDescent="0.25"/>
    <row r="7" spans="1:2" ht="18" customHeight="1" x14ac:dyDescent="0.25">
      <c r="A7" t="s">
        <v>68</v>
      </c>
      <c r="B7">
        <f>COUNTIF(Incidents!D:D,"Sécurité")</f>
        <v>4</v>
      </c>
    </row>
    <row r="8" spans="1:2" ht="18" customHeight="1" x14ac:dyDescent="0.25">
      <c r="A8" t="s">
        <v>69</v>
      </c>
      <c r="B8">
        <f>COUNTIF(Incidents!D:D,"Environnement")</f>
        <v>2</v>
      </c>
    </row>
    <row r="9" spans="1:2" ht="18" customHeight="1" x14ac:dyDescent="0.25">
      <c r="A9" t="s">
        <v>70</v>
      </c>
      <c r="B9">
        <f>COUNTIF(Incidents!D:D,"Qualité")</f>
        <v>2</v>
      </c>
    </row>
    <row r="10" spans="1:2" ht="18" customHeight="1" x14ac:dyDescent="0.25"/>
    <row r="11" spans="1:2" ht="18" customHeight="1" x14ac:dyDescent="0.25">
      <c r="A11" t="s">
        <v>71</v>
      </c>
      <c r="B11">
        <f>IFERROR(AVERAGE(Incidents!F:F),0)</f>
        <v>3.25</v>
      </c>
    </row>
    <row r="12" spans="1:2" ht="18" customHeight="1" x14ac:dyDescent="0.25">
      <c r="A12" t="s">
        <v>72</v>
      </c>
      <c r="B12">
        <f>IFERROR(AVERAGE(Incidents!G:G),0)</f>
        <v>2</v>
      </c>
    </row>
    <row r="13" spans="1:2" ht="18" customHeight="1" x14ac:dyDescent="0.25"/>
    <row r="14" spans="1:2" ht="18" customHeight="1" x14ac:dyDescent="0.25">
      <c r="A14" t="s">
        <v>73</v>
      </c>
      <c r="B14">
        <f>SUM(Incidents!M:M)</f>
        <v>1070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Incidents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yameogo</cp:lastModifiedBy>
  <dcterms:created xsi:type="dcterms:W3CDTF">2025-08-16T21:45:13Z</dcterms:created>
  <dcterms:modified xsi:type="dcterms:W3CDTF">2025-08-16T22:05:49Z</dcterms:modified>
</cp:coreProperties>
</file>